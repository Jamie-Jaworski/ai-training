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fhbhawaii.sharepoint.com/sites/cyber_security_div/SiteAssets/SitePages/Backgroud/"/>
    </mc:Choice>
  </mc:AlternateContent>
  <xr:revisionPtr revIDLastSave="0" documentId="8_{7FF0CAE2-D453-48AC-A7C9-BD6A5C919F79}" xr6:coauthVersionLast="47" xr6:coauthVersionMax="47" xr10:uidLastSave="{00000000-0000-0000-0000-000000000000}"/>
  <bookViews>
    <workbookView xWindow="972" yWindow="1068" windowWidth="28668" windowHeight="14424" tabRatio="500" xr2:uid="{00000000-000D-0000-FFFF-FFFF00000000}"/>
  </bookViews>
  <sheets>
    <sheet name="Risk Scoring" sheetId="1" r:id="rId1"/>
    <sheet name="Rubric Detail" sheetId="2" r:id="rId2"/>
    <sheet name="Weight Rationale"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9" i="1" l="1"/>
  <c r="F15" i="1"/>
  <c r="E15" i="1"/>
  <c r="F14" i="1"/>
  <c r="E14" i="1"/>
  <c r="F13" i="1"/>
  <c r="E13" i="1"/>
  <c r="F12" i="1"/>
  <c r="E12" i="1"/>
  <c r="F11" i="1"/>
  <c r="E11" i="1"/>
  <c r="F10" i="1"/>
  <c r="E10" i="1"/>
  <c r="F9" i="1"/>
  <c r="E9" i="1"/>
  <c r="F8" i="1"/>
  <c r="E8" i="1"/>
  <c r="F7" i="1"/>
  <c r="E7" i="1"/>
  <c r="F6" i="1"/>
  <c r="E6" i="1"/>
  <c r="F5" i="1"/>
  <c r="E5" i="1"/>
  <c r="F4" i="1"/>
  <c r="E4" i="1"/>
  <c r="D18" i="1" s="1"/>
  <c r="D20" i="1" s="1"/>
  <c r="D21" i="1" s="1"/>
</calcChain>
</file>

<file path=xl/sharedStrings.xml><?xml version="1.0" encoding="utf-8"?>
<sst xmlns="http://schemas.openxmlformats.org/spreadsheetml/2006/main" count="314" uniqueCount="200">
  <si>
    <t>Agentic AI Risk Assessment Rubric</t>
  </si>
  <si>
    <t>Enter a score from 1 (Very Low) to 5 (Very High) for each risk factor in the blue cells below</t>
  </si>
  <si>
    <t>#</t>
  </si>
  <si>
    <t>Risk Factor</t>
  </si>
  <si>
    <t>Weight</t>
  </si>
  <si>
    <t>Score (1-5)</t>
  </si>
  <si>
    <t>Weighted Score</t>
  </si>
  <si>
    <t>Level Description (auto-populated)</t>
  </si>
  <si>
    <t>Autonomy and Human Oversight</t>
  </si>
  <si>
    <t>Scope of Access and Permissions</t>
  </si>
  <si>
    <t>Reversibility of Actions</t>
  </si>
  <si>
    <t>Task Complexity and Ambiguity</t>
  </si>
  <si>
    <t>Tool and Chain-of-Action Risk</t>
  </si>
  <si>
    <t>Data Sensitivity and Privacy</t>
  </si>
  <si>
    <t>Transparency and Explainability</t>
  </si>
  <si>
    <t>Reliability and Failure Modes</t>
  </si>
  <si>
    <t>Scale and Blast Radius</t>
  </si>
  <si>
    <t>Guardrails and Monitoring Maturity</t>
  </si>
  <si>
    <t>Vendor and Model Dependency</t>
  </si>
  <si>
    <t>Regulatory and Compliance Context</t>
  </si>
  <si>
    <t>OVERALL RISK ASSESSMENT</t>
  </si>
  <si>
    <t>Total Weighted Score</t>
  </si>
  <si>
    <t>Sum of Weights</t>
  </si>
  <si>
    <t>Weighted Average Score</t>
  </si>
  <si>
    <t>Overall Risk Level</t>
  </si>
  <si>
    <t>Scoring Scale Reference</t>
  </si>
  <si>
    <t>Score Level</t>
  </si>
  <si>
    <t>Weighted Avg Range</t>
  </si>
  <si>
    <t>Risk Implication</t>
  </si>
  <si>
    <t>1 - Very Low</t>
  </si>
  <si>
    <t>1.0 - 1.8</t>
  </si>
  <si>
    <t>Minimal risk; standard monitoring sufficient</t>
  </si>
  <si>
    <t>2 - Low</t>
  </si>
  <si>
    <t>1.8 - 2.6</t>
  </si>
  <si>
    <t>Low risk; basic controls adequate</t>
  </si>
  <si>
    <t>3 - Medium</t>
  </si>
  <si>
    <t>2.6 - 3.4</t>
  </si>
  <si>
    <t>Moderate risk; enhanced controls and regular review recommended</t>
  </si>
  <si>
    <t>4 - High</t>
  </si>
  <si>
    <t>3.4 - 4.2</t>
  </si>
  <si>
    <t>High risk; comprehensive controls, frequent review, and executive oversight required</t>
  </si>
  <si>
    <t>5 - Very High</t>
  </si>
  <si>
    <t>4.2 - 5.0</t>
  </si>
  <si>
    <t>Critical risk; maximum controls, continuous monitoring, and board-level awareness required</t>
  </si>
  <si>
    <t>Agentic AI Risk Rubric — Detailed Level Descriptions</t>
  </si>
  <si>
    <t>1. Autonomy and Human Oversight  (Weight: 1.5)</t>
  </si>
  <si>
    <t>Level</t>
  </si>
  <si>
    <t>Score</t>
  </si>
  <si>
    <t>Description</t>
  </si>
  <si>
    <t>Example Indicators</t>
  </si>
  <si>
    <t>Very Low</t>
  </si>
  <si>
    <t>Fully human-controlled; agent only provides suggestions or drafts</t>
  </si>
  <si>
    <t>Read-only assistant; all outputs reviewed before use</t>
  </si>
  <si>
    <t>Low</t>
  </si>
  <si>
    <t>Human approves every action before execution</t>
  </si>
  <si>
    <t>Every action requires explicit human approval click</t>
  </si>
  <si>
    <t>Medium</t>
  </si>
  <si>
    <t>Human approves critical actions; routine actions auto-execute</t>
  </si>
  <si>
    <t>Agent proposes, human disposes; approval workflow enforced</t>
  </si>
  <si>
    <t>High</t>
  </si>
  <si>
    <t>Agent acts autonomously with periodic human review after the fact</t>
  </si>
  <si>
    <t>Agent runs daily batch jobs; human reviews weekly summary</t>
  </si>
  <si>
    <t>Very High</t>
  </si>
  <si>
    <t>Fully autonomous operation with no human checkpoints</t>
  </si>
  <si>
    <t>Autonomous trading bot or self-modifying deployment pipeline</t>
  </si>
  <si>
    <t>2. Scope of Access and Permissions  (Weight: 1.4)</t>
  </si>
  <si>
    <t>No access to internal systems; uses only public information</t>
  </si>
  <si>
    <t>Uses only publicly available web data</t>
  </si>
  <si>
    <t>Read-only access to a single non-sensitive system</t>
  </si>
  <si>
    <t>Read access to a shared knowledge base or wiki</t>
  </si>
  <si>
    <t>Read/write access to a limited set of internal systems</t>
  </si>
  <si>
    <t>Can read/write to CRM and ticketing systems</t>
  </si>
  <si>
    <t>Broad access across multiple systems including sensitive data</t>
  </si>
  <si>
    <t>Access to HR systems, financial databases, and cloud infra</t>
  </si>
  <si>
    <t>Unrestricted access to critical infrastructure, PII, or financial systems</t>
  </si>
  <si>
    <t>Admin-level access to production, payments, and identity systems</t>
  </si>
  <si>
    <t>3. Reversibility of Actions  (Weight: 1.3)</t>
  </si>
  <si>
    <t>All actions are fully reversible (e.g., drafts, recommendations only)</t>
  </si>
  <si>
    <t>Generates draft documents or recommendations only</t>
  </si>
  <si>
    <t>Most actions reversible with minor effort (e.g., editable records)</t>
  </si>
  <si>
    <t>Edits shared docs that can be version-rolled-back</t>
  </si>
  <si>
    <t>Some actions difficult to reverse (e.g., sent communications)</t>
  </si>
  <si>
    <t>Sends emails or messages that can't be unsent</t>
  </si>
  <si>
    <t>Key actions are irreversible or costly to undo (e.g., financial transactions)</t>
  </si>
  <si>
    <t>Executes payments or submits regulatory filings</t>
  </si>
  <si>
    <t>Actions are permanently irreversible with severe consequences (e.g., data deletion, legal filings)</t>
  </si>
  <si>
    <t>Deletes data, terminates services, or files legal documents</t>
  </si>
  <si>
    <t>4. Task Complexity and Ambiguity  (Weight: 1.0)</t>
  </si>
  <si>
    <t>Single, well-defined task with clear success criteria</t>
  </si>
  <si>
    <t>Answers FAQs from a fixed knowledge base</t>
  </si>
  <si>
    <t>Narrow task set with minor interpretation required</t>
  </si>
  <si>
    <t>Classifies support tickets with predefined categories</t>
  </si>
  <si>
    <t>Moderately complex tasks requiring some judgment calls</t>
  </si>
  <si>
    <t>Summarizes meeting notes and suggests follow-up actions</t>
  </si>
  <si>
    <t>Open-ended tasks with significant interpretation of intent</t>
  </si>
  <si>
    <t>Researches topics and proposes strategy recommendations</t>
  </si>
  <si>
    <t>Highly ambiguous goals with broad discretion to determine approach</t>
  </si>
  <si>
    <t>"Handle this customer complaint however you see fit"</t>
  </si>
  <si>
    <t>5. Tool and Chain-of-Action Risk  (Weight: 1.1)</t>
  </si>
  <si>
    <t>Single-step actions with no tool usage</t>
  </si>
  <si>
    <t>Single API call with no downstream dependencies</t>
  </si>
  <si>
    <t>Few-step workflows using one tool with human review between steps</t>
  </si>
  <si>
    <t>Two-step process (retrieve → summarize) with human check</t>
  </si>
  <si>
    <t>Multi-step workflows across 2-3 tools with some intermediate checks</t>
  </si>
  <si>
    <t>Three-step workflow (search → analyze → draft) across tools</t>
  </si>
  <si>
    <t>Long action chains across multiple tools with minimal review points</t>
  </si>
  <si>
    <t>Long pipeline: data pull → analysis → report → distribution</t>
  </si>
  <si>
    <t>Multi-agent orchestration with deeply nested, opaque action chains</t>
  </si>
  <si>
    <t>Multi-agent swarm coordinating across shared state</t>
  </si>
  <si>
    <t>6. Data Sensitivity and Privacy  (Weight: 1.4)</t>
  </si>
  <si>
    <t>Processes only public or non-sensitive data</t>
  </si>
  <si>
    <t>Public marketing content, open-source code</t>
  </si>
  <si>
    <t>Handles internal-only data with low sensitivity</t>
  </si>
  <si>
    <t>Internal memos, non-sensitive operational data</t>
  </si>
  <si>
    <t>Processes confidential business data (e.g., strategies, financials)</t>
  </si>
  <si>
    <t>Revenue figures, strategic plans, M&amp;A discussions</t>
  </si>
  <si>
    <t>Handles regulated data (PII, PHI, PCI) with defined controls</t>
  </si>
  <si>
    <t>Customer SSNs, medical records, payment card data</t>
  </si>
  <si>
    <t>Processes highly regulated data across jurisdictions with cross-border implications</t>
  </si>
  <si>
    <t>Cross-border PII with conflicting regulatory requirements</t>
  </si>
  <si>
    <t>7. Transparency and Explainability  (Weight: 0.8)</t>
  </si>
  <si>
    <t>Full decision log with human-readable reasoning for every action</t>
  </si>
  <si>
    <t>Complete step-by-step reasoning log with citations</t>
  </si>
  <si>
    <t>Detailed audit trail with explanations for key decisions</t>
  </si>
  <si>
    <t>Decision audit trail with rationale for key choices</t>
  </si>
  <si>
    <t>Partial logging; reasoning available for major actions only</t>
  </si>
  <si>
    <t>Summary log of actions taken; reasoning partially captured</t>
  </si>
  <si>
    <t>Minimal logging; limited ability to trace decision rationale</t>
  </si>
  <si>
    <t>Action log only; no reasoning or context preserved</t>
  </si>
  <si>
    <t>Black-box operation with no meaningful audit trail or explainability</t>
  </si>
  <si>
    <t>No logs; cannot reconstruct what happened or why</t>
  </si>
  <si>
    <t>8. Reliability and Failure Modes  (Weight: 1.1)</t>
  </si>
  <si>
    <t>Graceful failure with automatic escalation to human; no silent errors</t>
  </si>
  <si>
    <t>Detects errors, stops, alerts human, and provides context</t>
  </si>
  <si>
    <t>Detects most errors and pauses for human intervention</t>
  </si>
  <si>
    <t>Catches most errors; pauses and requests human guidance</t>
  </si>
  <si>
    <t>Handles common failures but may proceed on edge cases</t>
  </si>
  <si>
    <t>Handles known failure modes; unknown errors may propagate</t>
  </si>
  <si>
    <t>Limited error detection; may continue with incorrect assumptions</t>
  </si>
  <si>
    <t>Retries blindly on failure; may loop or produce bad output</t>
  </si>
  <si>
    <t>No failure handling; proceeds confidently regardless of errors or hallucinations</t>
  </si>
  <si>
    <t>No error handling; hallucinations treated as valid output</t>
  </si>
  <si>
    <t>9. Scale and Blast Radius  (Weight: 1.3)</t>
  </si>
  <si>
    <t>Single user, single action at a time with rate limiting</t>
  </si>
  <si>
    <t>One user, one task, rate-limited to single operations</t>
  </si>
  <si>
    <t>Small group of users; limited batch operations</t>
  </si>
  <si>
    <t>Small team (5-10 users); bounded batch sizes</t>
  </si>
  <si>
    <t>Department-level impact; moderate batch processing</t>
  </si>
  <si>
    <t>Department-wide (50-200 users); daily batch processing</t>
  </si>
  <si>
    <t>Enterprise-wide reach; high-volume automated operations</t>
  </si>
  <si>
    <t>Enterprise-wide (1000+ users); continuous automated operations</t>
  </si>
  <si>
    <t>Unbounded scale across users, systems, and geographies with no rate limits</t>
  </si>
  <si>
    <t>Unbounded: external-facing, cross-org, no throughput limits</t>
  </si>
  <si>
    <t>10. Guardrails and Monitoring Maturity  (Weight: 1.2)</t>
  </si>
  <si>
    <t>Comprehensive guardrails: input/output filtering, anomaly detection, real-time alerting, and tested incident response</t>
  </si>
  <si>
    <t>Defense-in-depth: filtering, monitoring, alerting, tested runbooks</t>
  </si>
  <si>
    <t>Strong guardrails with automated monitoring and defined escalation paths</t>
  </si>
  <si>
    <t>Input/output filters, monitoring dashboards, escalation paths defined</t>
  </si>
  <si>
    <t>Basic guardrails in place (e.g., input validation, logging) but limited real-time monitoring</t>
  </si>
  <si>
    <t>Basic input validation and logging; manual review of outputs</t>
  </si>
  <si>
    <t>Minimal safeguards; some logging but no active monitoring or alerting</t>
  </si>
  <si>
    <t>Some logging exists but no alerting or active monitoring</t>
  </si>
  <si>
    <t>No guardrails, monitoring, or incident response capability</t>
  </si>
  <si>
    <t>No safety controls, no monitoring, no incident response plan</t>
  </si>
  <si>
    <t>11. Vendor and Model Dependency  (Weight: 0.8)</t>
  </si>
  <si>
    <t>Self-hosted or open-source model with full version control and fallback options</t>
  </si>
  <si>
    <t>Self-hosted model with version control and hot-standby fallback</t>
  </si>
  <si>
    <t>Single vendor with pinned model version and regression testing</t>
  </si>
  <si>
    <t>Pinned vendor model version with automated regression suite</t>
  </si>
  <si>
    <t>Single vendor with version tracking but limited regression testing</t>
  </si>
  <si>
    <t>Vendor-managed with version tracking; manual spot-checks</t>
  </si>
  <si>
    <t>Vendor-dependent with no version pinning; behavior may change without notice</t>
  </si>
  <si>
    <t>Auto-updates from vendor; no regression testing</t>
  </si>
  <si>
    <t>Critical dependency on vendor with no fallback, no version control, and no testing</t>
  </si>
  <si>
    <t>Single vendor, no fallback, no versioning, model changes silently</t>
  </si>
  <si>
    <t>12. Regulatory and Compliance Context  (Weight: 1.1)</t>
  </si>
  <si>
    <t>No regulatory requirements apply; internal tooling only</t>
  </si>
  <si>
    <t>Internal productivity tool; no regulatory footprint</t>
  </si>
  <si>
    <t>General business compliance applies (e.g., SOC 2, internal policies)</t>
  </si>
  <si>
    <t>Subject to SOC 2, internal audit, basic compliance policies</t>
  </si>
  <si>
    <t>Industry-specific regulations apply (e.g., GLBA, HIPAA) with established frameworks</t>
  </si>
  <si>
    <t>Industry-regulated (e.g., GLBA for banking) with compliance program</t>
  </si>
  <si>
    <t>Multiple overlapping regulations with active enforcement and audit requirements</t>
  </si>
  <si>
    <t>Multiple regulators; subject to periodic examination and audit</t>
  </si>
  <si>
    <t>High-stakes regulated domain with AI-specific legislation (e.g., EU AI Act high-risk classification)</t>
  </si>
  <si>
    <t>EU AI Act high-risk or equivalent; requires conformity assessment</t>
  </si>
  <si>
    <t>Risk Factor Weight Rationale</t>
  </si>
  <si>
    <t>Rationale</t>
  </si>
  <si>
    <t>Highest weight. The degree of autonomy is the defining characteristic of agentic AI risk — an agent that can act without human approval has fundamentally different risk than one that only suggests.</t>
  </si>
  <si>
    <t>High weight. Access scope directly determines what damage is possible. An agent can only be as dangerous as the systems it can reach.</t>
  </si>
  <si>
    <t>High weight. Irreversible actions in high-stakes domains can cause permanent harm. The ability to undo mistakes is a critical safety property.</t>
  </si>
  <si>
    <t>Standard weight. While ambiguity increases unpredictability, clear task boundaries are a solvable design problem with less inherent danger than access or autonomy.</t>
  </si>
  <si>
    <t>Slightly elevated. Compounding errors across multi-step chains create emergent risks, but each step also offers an intervention opportunity.</t>
  </si>
  <si>
    <t>High weight. Data sensitivity carries regulatory, legal, and reputational risk that extends well beyond operational concerns.</t>
  </si>
  <si>
    <t>Lower weight. Important for governance and accountability, but transparency is a control mechanism rather than a direct risk driver.</t>
  </si>
  <si>
    <t>Slightly elevated. Failure handling determines whether problems stay small or cascade, making it a critical amplifier of other risks.</t>
  </si>
  <si>
    <t>High weight. Scale is a direct multiplier on harm — the same bad decision affecting 10 users vs. 10,000 users is a categorically different risk.</t>
  </si>
  <si>
    <t>Elevated weight. Guardrail maturity is the primary mitigating factor — strong controls can reduce effective risk even in high-inherent-risk scenarios.</t>
  </si>
  <si>
    <t>Lower weight. Vendor dependency is a real but slower-moving risk compared to operational factors; version pinning and testing can manage it effectively.</t>
  </si>
  <si>
    <t>Slightly elevated. Regulatory context doesn't change inherent risk, but it amplifies consequences of failure through fines, enforcement, and reputational damage.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</si>
</sst>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charset val="1"/>
    </font>
    <font>
      <b/>
      <sz val="14"/>
      <color rgb="FFFFFFFF"/>
      <name val="Arial"/>
      <charset val="1"/>
    </font>
    <font>
      <i/>
      <sz val="10"/>
      <color rgb="FFFFFFFF"/>
      <name val="Arial"/>
      <charset val="1"/>
    </font>
    <font>
      <b/>
      <sz val="11"/>
      <color rgb="FFFFFFFF"/>
      <name val="Arial"/>
      <charset val="1"/>
    </font>
    <font>
      <b/>
      <sz val="10"/>
      <name val="Arial"/>
      <charset val="1"/>
    </font>
    <font>
      <sz val="10"/>
      <name val="Arial"/>
      <charset val="1"/>
    </font>
    <font>
      <b/>
      <sz val="12"/>
      <color rgb="FF0000FF"/>
      <name val="Arial"/>
      <charset val="1"/>
    </font>
    <font>
      <sz val="9"/>
      <name val="Arial"/>
      <charset val="1"/>
    </font>
    <font>
      <b/>
      <sz val="12"/>
      <name val="Arial"/>
      <charset val="1"/>
    </font>
    <font>
      <b/>
      <sz val="14"/>
      <name val="Arial"/>
      <charset val="1"/>
    </font>
    <font>
      <b/>
      <sz val="10"/>
      <color rgb="FFFFFFFF"/>
      <name val="Arial"/>
      <charset val="1"/>
    </font>
    <font>
      <b/>
      <sz val="9"/>
      <color rgb="FF1F3864"/>
      <name val="Arial"/>
      <charset val="1"/>
    </font>
    <font>
      <i/>
      <sz val="9"/>
      <name val="Arial"/>
      <charset val="1"/>
    </font>
  </fonts>
  <fills count="13">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E9EFF7"/>
        <bgColor rgb="FFD6E4F0"/>
      </patternFill>
    </fill>
    <fill>
      <patternFill patternType="solid">
        <fgColor rgb="FFFFFFCC"/>
        <bgColor rgb="FFFFFFFF"/>
      </patternFill>
    </fill>
    <fill>
      <patternFill patternType="solid">
        <fgColor rgb="FFFFFFFF"/>
        <bgColor rgb="FFFFFFCC"/>
      </patternFill>
    </fill>
    <fill>
      <patternFill patternType="solid">
        <fgColor rgb="FFD6E4F0"/>
        <bgColor rgb="FFE9EFF7"/>
      </patternFill>
    </fill>
    <fill>
      <patternFill patternType="solid">
        <fgColor rgb="FFC6EFCE"/>
        <bgColor rgb="FFD5F5D0"/>
      </patternFill>
    </fill>
    <fill>
      <patternFill patternType="solid">
        <fgColor rgb="FFD5F5D0"/>
        <bgColor rgb="FFC6EFCE"/>
      </patternFill>
    </fill>
    <fill>
      <patternFill patternType="solid">
        <fgColor rgb="FFFFEB9C"/>
        <bgColor rgb="FFFFFFCC"/>
      </patternFill>
    </fill>
    <fill>
      <patternFill patternType="solid">
        <fgColor rgb="FFFFCBA4"/>
        <bgColor rgb="FFFFC7CE"/>
      </patternFill>
    </fill>
    <fill>
      <patternFill patternType="solid">
        <fgColor rgb="FFFFC7CE"/>
        <bgColor rgb="FFFFCBA4"/>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s>
  <cellStyleXfs count="1">
    <xf numFmtId="0" fontId="0" fillId="0" borderId="0"/>
  </cellStyleXfs>
  <cellXfs count="61">
    <xf numFmtId="0" fontId="0" fillId="0" borderId="0" xfId="0"/>
    <xf numFmtId="0" fontId="4" fillId="10"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64" fontId="5" fillId="4"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2" fontId="4" fillId="4" borderId="1" xfId="0" applyNumberFormat="1" applyFont="1" applyFill="1" applyBorder="1" applyAlignment="1">
      <alignment horizontal="center" vertical="center" wrapText="1"/>
    </xf>
    <xf numFmtId="0" fontId="7" fillId="4"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164" fontId="5" fillId="6" borderId="1" xfId="0" applyNumberFormat="1" applyFont="1" applyFill="1" applyBorder="1" applyAlignment="1">
      <alignment horizontal="center" vertical="center" wrapText="1"/>
    </xf>
    <xf numFmtId="2" fontId="4" fillId="6" borderId="1" xfId="0" applyNumberFormat="1" applyFont="1" applyFill="1" applyBorder="1" applyAlignment="1">
      <alignment horizontal="center" vertical="center" wrapText="1"/>
    </xf>
    <xf numFmtId="0" fontId="7" fillId="6" borderId="1" xfId="0" applyFont="1" applyFill="1" applyBorder="1" applyAlignment="1">
      <alignment horizontal="left" vertical="top"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0" fillId="8" borderId="1" xfId="0" applyFill="1" applyBorder="1"/>
    <xf numFmtId="0" fontId="5" fillId="8"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0" fillId="9" borderId="1" xfId="0" applyFill="1" applyBorder="1"/>
    <xf numFmtId="0" fontId="5"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0" fillId="10" borderId="1" xfId="0" applyFill="1" applyBorder="1"/>
    <xf numFmtId="0" fontId="5" fillId="10" borderId="1" xfId="0" applyFont="1" applyFill="1" applyBorder="1" applyAlignment="1">
      <alignment horizontal="left" vertical="top" wrapText="1"/>
    </xf>
    <xf numFmtId="0" fontId="12" fillId="10" borderId="1" xfId="0" applyFont="1" applyFill="1" applyBorder="1" applyAlignment="1">
      <alignment horizontal="left" vertical="top" wrapText="1"/>
    </xf>
    <xf numFmtId="0" fontId="0" fillId="11" borderId="1" xfId="0" applyFill="1" applyBorder="1"/>
    <xf numFmtId="0" fontId="5" fillId="11" borderId="1" xfId="0" applyFont="1" applyFill="1" applyBorder="1" applyAlignment="1">
      <alignment horizontal="left" vertical="top" wrapText="1"/>
    </xf>
    <xf numFmtId="0" fontId="12" fillId="11" borderId="1" xfId="0" applyFont="1" applyFill="1" applyBorder="1" applyAlignment="1">
      <alignment horizontal="left" vertical="top" wrapText="1"/>
    </xf>
    <xf numFmtId="0" fontId="0" fillId="12" borderId="1" xfId="0" applyFill="1" applyBorder="1"/>
    <xf numFmtId="0" fontId="5" fillId="12" borderId="1" xfId="0" applyFont="1" applyFill="1" applyBorder="1" applyAlignment="1">
      <alignment horizontal="left" vertical="top" wrapText="1"/>
    </xf>
    <xf numFmtId="0" fontId="12" fillId="12" borderId="1" xfId="0" applyFont="1" applyFill="1" applyBorder="1" applyAlignment="1">
      <alignment horizontal="left" vertical="top" wrapText="1"/>
    </xf>
    <xf numFmtId="164" fontId="4" fillId="4" borderId="1" xfId="0" applyNumberFormat="1" applyFont="1" applyFill="1" applyBorder="1" applyAlignment="1">
      <alignment horizontal="center" vertical="center" wrapText="1"/>
    </xf>
    <xf numFmtId="0" fontId="5" fillId="4" borderId="1" xfId="0" applyFont="1" applyFill="1" applyBorder="1" applyAlignment="1">
      <alignment horizontal="left" vertical="top" wrapText="1"/>
    </xf>
    <xf numFmtId="164" fontId="4" fillId="6" borderId="1" xfId="0" applyNumberFormat="1" applyFont="1" applyFill="1" applyBorder="1" applyAlignment="1">
      <alignment horizontal="center" vertical="center" wrapText="1"/>
    </xf>
    <xf numFmtId="0" fontId="5" fillId="6" borderId="1" xfId="0" applyFont="1" applyFill="1" applyBorder="1" applyAlignment="1">
      <alignment horizontal="lef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4" fillId="7" borderId="1" xfId="0" applyFont="1" applyFill="1" applyBorder="1" applyAlignment="1">
      <alignment horizontal="right" vertical="center"/>
    </xf>
    <xf numFmtId="2" fontId="8" fillId="6"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0" fontId="3" fillId="3" borderId="0" xfId="0" applyFont="1" applyFill="1" applyAlignment="1">
      <alignment horizontal="center" vertical="center"/>
    </xf>
    <xf numFmtId="0" fontId="10" fillId="3" borderId="2"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3" fillId="3" borderId="0" xfId="0" applyFont="1" applyFill="1" applyAlignment="1">
      <alignment horizontal="left" vertical="center" wrapText="1"/>
    </xf>
  </cellXfs>
  <cellStyles count="1">
    <cellStyle name="Normal" xfId="0" builtinId="0"/>
  </cellStyles>
  <dxfs count="10">
    <dxf>
      <font>
        <b/>
        <sz val="14"/>
        <color rgb="FF006100"/>
      </font>
      <fill>
        <patternFill>
          <bgColor rgb="FFC6EFCE"/>
        </patternFill>
      </fill>
    </dxf>
    <dxf>
      <font>
        <b/>
        <sz val="14"/>
        <color rgb="FF9C0006"/>
      </font>
      <fill>
        <patternFill>
          <bgColor rgb="FFFFC7CE"/>
        </patternFill>
      </fill>
    </dxf>
    <dxf>
      <font>
        <b/>
        <sz val="14"/>
        <color rgb="FF9C0006"/>
      </font>
      <fill>
        <patternFill>
          <bgColor rgb="FFFFC7CE"/>
        </patternFill>
      </fill>
    </dxf>
    <dxf>
      <font>
        <b/>
        <sz val="14"/>
        <color rgb="FF9C6500"/>
      </font>
      <fill>
        <patternFill>
          <bgColor rgb="FFFFEB9C"/>
        </patternFill>
      </fill>
    </dxf>
    <dxf>
      <font>
        <b/>
        <sz val="14"/>
        <color rgb="FF006100"/>
      </font>
      <fill>
        <patternFill>
          <bgColor rgb="FFC6EFCE"/>
        </patternFill>
      </fill>
    </dxf>
    <dxf>
      <fill>
        <patternFill>
          <bgColor rgb="FFFFC7CE"/>
        </patternFill>
      </fill>
    </dxf>
    <dxf>
      <fill>
        <patternFill>
          <bgColor rgb="FFFFEB9C"/>
        </patternFill>
      </fill>
    </dxf>
    <dxf>
      <fill>
        <patternFill>
          <bgColor rgb="FFD5F5D0"/>
        </patternFill>
      </fill>
    </dxf>
    <dxf>
      <fill>
        <patternFill>
          <bgColor rgb="FFC6EFCE"/>
        </patternFill>
      </fill>
    </dxf>
    <dxf>
      <fill>
        <patternFill>
          <bgColor rgb="FFFFCBA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4C6E7"/>
      <rgbColor rgb="FF808080"/>
      <rgbColor rgb="FF9999FF"/>
      <rgbColor rgb="FF993366"/>
      <rgbColor rgb="FFFFFFCC"/>
      <rgbColor rgb="FFE9EFF7"/>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6EFCE"/>
      <rgbColor rgb="FFD5F5D0"/>
      <rgbColor rgb="FFFFEB9C"/>
      <rgbColor rgb="FF99CCFF"/>
      <rgbColor rgb="FFFFC7CE"/>
      <rgbColor rgb="FFCC99FF"/>
      <rgbColor rgb="FFFFCBA4"/>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F29"/>
  <sheetViews>
    <sheetView tabSelected="1" zoomScaleNormal="100" workbookViewId="0">
      <selection sqref="A1:F1"/>
    </sheetView>
  </sheetViews>
  <sheetFormatPr defaultColWidth="8.7109375" defaultRowHeight="14.45"/>
  <cols>
    <col min="1" max="1" width="5" customWidth="1"/>
    <col min="2" max="2" width="38" customWidth="1"/>
    <col min="3" max="3" width="12" customWidth="1"/>
    <col min="4" max="4" width="14" customWidth="1"/>
    <col min="5" max="5" width="16" customWidth="1"/>
    <col min="6" max="6" width="60" customWidth="1"/>
  </cols>
  <sheetData>
    <row r="1" spans="1:6" ht="39.75" customHeight="1">
      <c r="A1" s="38" t="s">
        <v>0</v>
      </c>
      <c r="B1" s="38"/>
      <c r="C1" s="38"/>
      <c r="D1" s="38"/>
      <c r="E1" s="38"/>
      <c r="F1" s="38"/>
    </row>
    <row r="2" spans="1:6" ht="24.75" customHeight="1">
      <c r="A2" s="39" t="s">
        <v>1</v>
      </c>
      <c r="B2" s="39"/>
      <c r="C2" s="39"/>
      <c r="D2" s="39"/>
      <c r="E2" s="39"/>
      <c r="F2" s="39"/>
    </row>
    <row r="3" spans="1:6" ht="30" customHeight="1">
      <c r="A3" s="4" t="s">
        <v>2</v>
      </c>
      <c r="B3" s="4" t="s">
        <v>3</v>
      </c>
      <c r="C3" s="4" t="s">
        <v>4</v>
      </c>
      <c r="D3" s="4" t="s">
        <v>5</v>
      </c>
      <c r="E3" s="4" t="s">
        <v>6</v>
      </c>
      <c r="F3" s="4" t="s">
        <v>7</v>
      </c>
    </row>
    <row r="4" spans="1:6" ht="45" customHeight="1">
      <c r="A4" s="5">
        <v>1</v>
      </c>
      <c r="B4" s="6" t="s">
        <v>8</v>
      </c>
      <c r="C4" s="7">
        <v>1.5</v>
      </c>
      <c r="D4" s="8">
        <v>3</v>
      </c>
      <c r="E4" s="9">
        <f t="shared" ref="E4:E15" si="0">C4*D4</f>
        <v>4.5</v>
      </c>
      <c r="F4" s="10" t="str">
        <f>IF(OR(D4&lt;1,D4&gt;5),"Enter a score between 1 and 5",CHOOSE(D4,"Fully human-controlled; agent only provides suggestions or drafts","Human approves every action before execution","Human approves critical actions; routine actions auto-execute","Agent acts autonomously with periodic human review after the fact","Fully autonomous operation with no human checkpoints"))</f>
        <v>Human approves critical actions; routine actions auto-execute</v>
      </c>
    </row>
    <row r="5" spans="1:6" ht="45" customHeight="1">
      <c r="A5" s="11">
        <v>2</v>
      </c>
      <c r="B5" s="12" t="s">
        <v>9</v>
      </c>
      <c r="C5" s="13">
        <v>1.4</v>
      </c>
      <c r="D5" s="8">
        <v>3</v>
      </c>
      <c r="E5" s="14">
        <f t="shared" si="0"/>
        <v>4.1999999999999993</v>
      </c>
      <c r="F5" s="15" t="str">
        <f>IF(OR(D5&lt;1,D5&gt;5),"Enter a score between 1 and 5",CHOOSE(D5,"No access to internal systems; uses only public information","Read-only access to a single non-sensitive system","Read/write access to a limited set of internal systems","Broad access across multiple systems including sensitive data","Unrestricted access to critical infrastructure, PII, or financial systems"))</f>
        <v>Read/write access to a limited set of internal systems</v>
      </c>
    </row>
    <row r="6" spans="1:6" ht="45" customHeight="1">
      <c r="A6" s="5">
        <v>3</v>
      </c>
      <c r="B6" s="6" t="s">
        <v>10</v>
      </c>
      <c r="C6" s="7">
        <v>1.3</v>
      </c>
      <c r="D6" s="8">
        <v>3</v>
      </c>
      <c r="E6" s="9">
        <f t="shared" si="0"/>
        <v>3.9000000000000004</v>
      </c>
      <c r="F6" s="10" t="str">
        <f>IF(OR(D6&lt;1,D6&gt;5),"Enter a score between 1 and 5",CHOOSE(D6,"All actions are fully reversible (e.g., drafts, recommendations only)","Most actions reversible with minor effort (e.g., editable records)","Some actions difficult to reverse (e.g., sent communications)","Key actions are irreversible or costly to undo (e.g., financial transactions)","Actions are permanently irreversible with severe consequences (e.g., data deletion, legal filings)"))</f>
        <v>Some actions difficult to reverse (e.g., sent communications)</v>
      </c>
    </row>
    <row r="7" spans="1:6" ht="45" customHeight="1">
      <c r="A7" s="11">
        <v>4</v>
      </c>
      <c r="B7" s="12" t="s">
        <v>11</v>
      </c>
      <c r="C7" s="13">
        <v>1</v>
      </c>
      <c r="D7" s="8">
        <v>3</v>
      </c>
      <c r="E7" s="14">
        <f t="shared" si="0"/>
        <v>3</v>
      </c>
      <c r="F7" s="15" t="str">
        <f>IF(OR(D7&lt;1,D7&gt;5),"Enter a score between 1 and 5",CHOOSE(D7,"Single, well-defined task with clear success criteria","Narrow task set with minor interpretation required","Moderately complex tasks requiring some judgment calls","Open-ended tasks with significant interpretation of intent","Highly ambiguous goals with broad discretion to determine approach"))</f>
        <v>Moderately complex tasks requiring some judgment calls</v>
      </c>
    </row>
    <row r="8" spans="1:6" ht="45" customHeight="1">
      <c r="A8" s="5">
        <v>5</v>
      </c>
      <c r="B8" s="6" t="s">
        <v>12</v>
      </c>
      <c r="C8" s="7">
        <v>1.1000000000000001</v>
      </c>
      <c r="D8" s="8">
        <v>3</v>
      </c>
      <c r="E8" s="9">
        <f t="shared" si="0"/>
        <v>3.3000000000000003</v>
      </c>
      <c r="F8" s="10" t="str">
        <f>IF(OR(D8&lt;1,D8&gt;5),"Enter a score between 1 and 5",CHOOSE(D8,"Single-step actions with no tool usage","Few-step workflows using one tool with human review between steps","Multi-step workflows across 2-3 tools with some intermediate checks","Long action chains across multiple tools with minimal review points","Multi-agent orchestration with deeply nested, opaque action chains"))</f>
        <v>Multi-step workflows across 2-3 tools with some intermediate checks</v>
      </c>
    </row>
    <row r="9" spans="1:6" ht="45" customHeight="1">
      <c r="A9" s="11">
        <v>6</v>
      </c>
      <c r="B9" s="12" t="s">
        <v>13</v>
      </c>
      <c r="C9" s="13">
        <v>1.4</v>
      </c>
      <c r="D9" s="8">
        <v>3</v>
      </c>
      <c r="E9" s="14">
        <f t="shared" si="0"/>
        <v>4.1999999999999993</v>
      </c>
      <c r="F9" s="15" t="str">
        <f>IF(OR(D9&lt;1,D9&gt;5),"Enter a score between 1 and 5",CHOOSE(D9,"Processes only public or non-sensitive data","Handles internal-only data with low sensitivity","Processes confidential business data (e.g., strategies, financials)","Handles regulated data (PII, PHI, PCI) with defined controls","Processes highly regulated data across jurisdictions with cross-border implications"))</f>
        <v>Processes confidential business data (e.g., strategies, financials)</v>
      </c>
    </row>
    <row r="10" spans="1:6" ht="45" customHeight="1">
      <c r="A10" s="5">
        <v>7</v>
      </c>
      <c r="B10" s="6" t="s">
        <v>14</v>
      </c>
      <c r="C10" s="7">
        <v>0.8</v>
      </c>
      <c r="D10" s="8">
        <v>3</v>
      </c>
      <c r="E10" s="9">
        <f t="shared" si="0"/>
        <v>2.4000000000000004</v>
      </c>
      <c r="F10" s="10" t="str">
        <f>IF(OR(D10&lt;1,D10&gt;5),"Enter a score between 1 and 5",CHOOSE(D10,"Full decision log with human-readable reasoning for every action","Detailed audit trail with explanations for key decisions","Partial logging; reasoning available for major actions only","Minimal logging; limited ability to trace decision rationale","Black-box operation with no meaningful audit trail or explainability"))</f>
        <v>Partial logging; reasoning available for major actions only</v>
      </c>
    </row>
    <row r="11" spans="1:6" ht="45" customHeight="1">
      <c r="A11" s="11">
        <v>8</v>
      </c>
      <c r="B11" s="12" t="s">
        <v>15</v>
      </c>
      <c r="C11" s="13">
        <v>1.1000000000000001</v>
      </c>
      <c r="D11" s="8">
        <v>3</v>
      </c>
      <c r="E11" s="14">
        <f t="shared" si="0"/>
        <v>3.3000000000000003</v>
      </c>
      <c r="F11" s="15" t="str">
        <f>IF(OR(D11&lt;1,D11&gt;5),"Enter a score between 1 and 5",CHOOSE(D11,"Graceful failure with automatic escalation to human; no silent errors","Detects most errors and pauses for human intervention","Handles common failures but may proceed on edge cases","Limited error detection; may continue with incorrect assumptions","No failure handling; proceeds confidently regardless of errors or hallucinations"))</f>
        <v>Handles common failures but may proceed on edge cases</v>
      </c>
    </row>
    <row r="12" spans="1:6" ht="45" customHeight="1">
      <c r="A12" s="5">
        <v>9</v>
      </c>
      <c r="B12" s="6" t="s">
        <v>16</v>
      </c>
      <c r="C12" s="7">
        <v>1.3</v>
      </c>
      <c r="D12" s="8">
        <v>3</v>
      </c>
      <c r="E12" s="9">
        <f t="shared" si="0"/>
        <v>3.9000000000000004</v>
      </c>
      <c r="F12" s="10" t="str">
        <f>IF(OR(D12&lt;1,D12&gt;5),"Enter a score between 1 and 5",CHOOSE(D12,"Single user, single action at a time with rate limiting","Small group of users; limited batch operations","Department-level impact; moderate batch processing","Enterprise-wide reach; high-volume automated operations","Unbounded scale across users, systems, and geographies with no rate limits"))</f>
        <v>Department-level impact; moderate batch processing</v>
      </c>
    </row>
    <row r="13" spans="1:6" ht="45" customHeight="1">
      <c r="A13" s="11">
        <v>10</v>
      </c>
      <c r="B13" s="12" t="s">
        <v>17</v>
      </c>
      <c r="C13" s="13">
        <v>1.2</v>
      </c>
      <c r="D13" s="8">
        <v>3</v>
      </c>
      <c r="E13" s="14">
        <f t="shared" si="0"/>
        <v>3.5999999999999996</v>
      </c>
      <c r="F13" s="15" t="str">
        <f>IF(OR(D13&lt;1,D13&gt;5),"Enter a score between 1 and 5",CHOOSE(D13,"Comprehensive guardrails: input/output filtering, anomaly detection, real-time alerting, and tested incident response","Strong guardrails with automated monitoring and defined escalation paths","Basic guardrails in place (e.g., input validation, logging) but limited real-time monitoring","Minimal safeguards; some logging but no active monitoring or alerting","No guardrails, monitoring, or incident response capability"))</f>
        <v>Basic guardrails in place (e.g., input validation, logging) but limited real-time monitoring</v>
      </c>
    </row>
    <row r="14" spans="1:6" ht="45" customHeight="1">
      <c r="A14" s="5">
        <v>11</v>
      </c>
      <c r="B14" s="6" t="s">
        <v>18</v>
      </c>
      <c r="C14" s="7">
        <v>0.8</v>
      </c>
      <c r="D14" s="8">
        <v>3</v>
      </c>
      <c r="E14" s="9">
        <f t="shared" si="0"/>
        <v>2.4000000000000004</v>
      </c>
      <c r="F14" s="10" t="str">
        <f>IF(OR(D14&lt;1,D14&gt;5),"Enter a score between 1 and 5",CHOOSE(D14,"Self-hosted or open-source model with full version control and fallback options","Single vendor with pinned model version and regression testing","Single vendor with version tracking but limited regression testing","Vendor-dependent with no version pinning; behavior may change without notice","Critical dependency on vendor with no fallback, no version control, and no testing"))</f>
        <v>Single vendor with version tracking but limited regression testing</v>
      </c>
    </row>
    <row r="15" spans="1:6" ht="45" customHeight="1">
      <c r="A15" s="11">
        <v>12</v>
      </c>
      <c r="B15" s="12" t="s">
        <v>19</v>
      </c>
      <c r="C15" s="13">
        <v>1.1000000000000001</v>
      </c>
      <c r="D15" s="8">
        <v>3</v>
      </c>
      <c r="E15" s="14">
        <f t="shared" si="0"/>
        <v>3.3000000000000003</v>
      </c>
      <c r="F15" s="15" t="str">
        <f>IF(OR(D15&lt;1,D15&gt;5),"Enter a score between 1 and 5",CHOOSE(D15,"No regulatory requirements apply; internal tooling only","General business compliance applies (e.g., SOC 2, internal policies)","Industry-specific regulations apply (e.g., GLBA, HIPAA) with established frameworks","Multiple overlapping regulations with active enforcement and audit requirements","High-stakes regulated domain with AI-specific legislation (e.g., EU AI Act high-risk classification)"))</f>
        <v>Industry-specific regulations apply (e.g., GLBA, HIPAA) with established frameworks</v>
      </c>
    </row>
    <row r="17" spans="1:6" ht="34.5" customHeight="1">
      <c r="A17" s="38" t="s">
        <v>20</v>
      </c>
      <c r="B17" s="38"/>
      <c r="C17" s="38"/>
      <c r="D17" s="38"/>
      <c r="E17" s="38"/>
      <c r="F17" s="38"/>
    </row>
    <row r="18" spans="1:6" ht="30" customHeight="1">
      <c r="A18" s="40" t="s">
        <v>21</v>
      </c>
      <c r="B18" s="40"/>
      <c r="C18" s="40"/>
      <c r="D18" s="41">
        <f>SUM(E4:E15)</f>
        <v>42</v>
      </c>
      <c r="E18" s="41"/>
      <c r="F18" s="41"/>
    </row>
    <row r="19" spans="1:6" ht="30" customHeight="1">
      <c r="A19" s="40" t="s">
        <v>22</v>
      </c>
      <c r="B19" s="40"/>
      <c r="C19" s="40"/>
      <c r="D19" s="41">
        <f>SUM(C4:C15)</f>
        <v>14.000000000000002</v>
      </c>
      <c r="E19" s="41"/>
      <c r="F19" s="41"/>
    </row>
    <row r="20" spans="1:6" ht="30" customHeight="1">
      <c r="A20" s="40" t="s">
        <v>23</v>
      </c>
      <c r="B20" s="40"/>
      <c r="C20" s="40"/>
      <c r="D20" s="41">
        <f>D18/D19</f>
        <v>2.9999999999999996</v>
      </c>
      <c r="E20" s="41"/>
      <c r="F20" s="41"/>
    </row>
    <row r="21" spans="1:6" ht="30" customHeight="1">
      <c r="A21" s="40" t="s">
        <v>24</v>
      </c>
      <c r="B21" s="40"/>
      <c r="C21" s="40"/>
      <c r="D21" s="42" t="str">
        <f>IF(D20&lt;=1.8,"Very Low",IF(D20&lt;=2.6,"Low",IF(D20&lt;=3.4,"Medium",IF(D20&lt;=4.2,"High","Very High"))))</f>
        <v>Medium</v>
      </c>
      <c r="E21" s="42"/>
      <c r="F21" s="42"/>
    </row>
    <row r="23" spans="1:6" ht="27.75" customHeight="1">
      <c r="A23" s="43" t="s">
        <v>25</v>
      </c>
      <c r="B23" s="43"/>
      <c r="C23" s="43"/>
      <c r="D23" s="43"/>
      <c r="E23" s="43"/>
      <c r="F23" s="43"/>
    </row>
    <row r="24" spans="1:6" ht="24.75" customHeight="1">
      <c r="A24" s="44" t="s">
        <v>26</v>
      </c>
      <c r="B24" s="44"/>
      <c r="C24" s="44" t="s">
        <v>27</v>
      </c>
      <c r="D24" s="44"/>
      <c r="E24" s="44" t="s">
        <v>28</v>
      </c>
      <c r="F24" s="44"/>
    </row>
    <row r="25" spans="1:6" ht="27.75" customHeight="1">
      <c r="A25" s="45" t="s">
        <v>29</v>
      </c>
      <c r="B25" s="45"/>
      <c r="C25" s="46" t="s">
        <v>30</v>
      </c>
      <c r="D25" s="46"/>
      <c r="E25" s="47" t="s">
        <v>31</v>
      </c>
      <c r="F25" s="47"/>
    </row>
    <row r="26" spans="1:6" ht="27.75" customHeight="1">
      <c r="A26" s="48" t="s">
        <v>32</v>
      </c>
      <c r="B26" s="48"/>
      <c r="C26" s="49" t="s">
        <v>33</v>
      </c>
      <c r="D26" s="49"/>
      <c r="E26" s="50" t="s">
        <v>34</v>
      </c>
      <c r="F26" s="50"/>
    </row>
    <row r="27" spans="1:6" ht="27.75" customHeight="1">
      <c r="A27" s="51" t="s">
        <v>35</v>
      </c>
      <c r="B27" s="51"/>
      <c r="C27" s="52" t="s">
        <v>36</v>
      </c>
      <c r="D27" s="52"/>
      <c r="E27" s="53" t="s">
        <v>37</v>
      </c>
      <c r="F27" s="53"/>
    </row>
    <row r="28" spans="1:6" ht="27.75" customHeight="1">
      <c r="A28" s="54" t="s">
        <v>38</v>
      </c>
      <c r="B28" s="54"/>
      <c r="C28" s="55" t="s">
        <v>39</v>
      </c>
      <c r="D28" s="55"/>
      <c r="E28" s="56" t="s">
        <v>40</v>
      </c>
      <c r="F28" s="56"/>
    </row>
    <row r="29" spans="1:6" ht="27.75" customHeight="1">
      <c r="A29" s="57" t="s">
        <v>41</v>
      </c>
      <c r="B29" s="57"/>
      <c r="C29" s="58" t="s">
        <v>42</v>
      </c>
      <c r="D29" s="58"/>
      <c r="E29" s="59" t="s">
        <v>43</v>
      </c>
      <c r="F29" s="59"/>
    </row>
  </sheetData>
  <mergeCells count="30">
    <mergeCell ref="A28:B28"/>
    <mergeCell ref="C28:D28"/>
    <mergeCell ref="E28:F28"/>
    <mergeCell ref="A29:B29"/>
    <mergeCell ref="C29:D29"/>
    <mergeCell ref="E29:F29"/>
    <mergeCell ref="A26:B26"/>
    <mergeCell ref="C26:D26"/>
    <mergeCell ref="E26:F26"/>
    <mergeCell ref="A27:B27"/>
    <mergeCell ref="C27:D27"/>
    <mergeCell ref="E27:F27"/>
    <mergeCell ref="A23:F23"/>
    <mergeCell ref="A24:B24"/>
    <mergeCell ref="C24:D24"/>
    <mergeCell ref="E24:F24"/>
    <mergeCell ref="A25:B25"/>
    <mergeCell ref="C25:D25"/>
    <mergeCell ref="E25:F25"/>
    <mergeCell ref="A19:C19"/>
    <mergeCell ref="D19:F19"/>
    <mergeCell ref="A20:C20"/>
    <mergeCell ref="D20:F20"/>
    <mergeCell ref="A21:C21"/>
    <mergeCell ref="D21:F21"/>
    <mergeCell ref="A1:F1"/>
    <mergeCell ref="A2:F2"/>
    <mergeCell ref="A17:F17"/>
    <mergeCell ref="A18:C18"/>
    <mergeCell ref="D18:F18"/>
  </mergeCells>
  <conditionalFormatting sqref="D4:D15">
    <cfRule type="cellIs" dxfId="9" priority="10" operator="equal">
      <formula>4</formula>
    </cfRule>
    <cfRule type="cellIs" dxfId="8" priority="7" operator="equal">
      <formula>1</formula>
    </cfRule>
    <cfRule type="cellIs" dxfId="7" priority="8" operator="equal">
      <formula>2</formula>
    </cfRule>
    <cfRule type="cellIs" dxfId="6" priority="9" operator="equal">
      <formula>3</formula>
    </cfRule>
    <cfRule type="cellIs" dxfId="5" priority="11" operator="equal">
      <formula>5</formula>
    </cfRule>
  </conditionalFormatting>
  <conditionalFormatting sqref="D21:F21">
    <cfRule type="expression" dxfId="4" priority="3">
      <formula>D21="Low"</formula>
    </cfRule>
    <cfRule type="expression" dxfId="3" priority="4">
      <formula>D21="Medium"</formula>
    </cfRule>
    <cfRule type="expression" dxfId="2" priority="5">
      <formula>D21="High"</formula>
    </cfRule>
    <cfRule type="expression" dxfId="1" priority="6">
      <formula>D21="Very High"</formula>
    </cfRule>
    <cfRule type="expression" dxfId="0" priority="2">
      <formula>D21="Very Low"</formula>
    </cfRule>
  </conditionalFormatting>
  <dataValidations count="1">
    <dataValidation type="whole" showInputMessage="1" showErrorMessage="1" errorTitle="Invalid Score" error="Please enter a value between 1 and 5." promptTitle="Risk Score" prompt="Enter 1 (Very Low) to 5 (Very High)" sqref="D4:D15" xr:uid="{00000000-0002-0000-0000-000000000000}">
      <formula1>1</formula1>
      <formula2>5</formula2>
    </dataValidation>
  </dataValidation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E86"/>
  <sheetViews>
    <sheetView zoomScaleNormal="100" workbookViewId="0"/>
  </sheetViews>
  <sheetFormatPr defaultColWidth="8.7109375" defaultRowHeight="14.45"/>
  <cols>
    <col min="1" max="1" width="5" customWidth="1"/>
    <col min="2" max="2" width="35" customWidth="1"/>
    <col min="3" max="3" width="10" customWidth="1"/>
    <col min="4" max="5" width="55" customWidth="1"/>
  </cols>
  <sheetData>
    <row r="1" spans="1:5" ht="39.75" customHeight="1">
      <c r="A1" s="38" t="s">
        <v>44</v>
      </c>
      <c r="B1" s="38"/>
      <c r="C1" s="38"/>
      <c r="D1" s="38"/>
      <c r="E1" s="38"/>
    </row>
    <row r="3" spans="1:5" ht="27.75" customHeight="1">
      <c r="A3" s="60" t="s">
        <v>45</v>
      </c>
      <c r="B3" s="60"/>
      <c r="C3" s="60"/>
      <c r="D3" s="60"/>
      <c r="E3" s="60"/>
    </row>
    <row r="4" spans="1:5" ht="21.75" customHeight="1">
      <c r="A4" s="18"/>
      <c r="B4" s="18" t="s">
        <v>46</v>
      </c>
      <c r="C4" s="18" t="s">
        <v>47</v>
      </c>
      <c r="D4" s="18" t="s">
        <v>48</v>
      </c>
      <c r="E4" s="18" t="s">
        <v>49</v>
      </c>
    </row>
    <row r="5" spans="1:5" ht="49.5" customHeight="1">
      <c r="A5" s="19"/>
      <c r="B5" s="3" t="s">
        <v>50</v>
      </c>
      <c r="C5" s="3">
        <v>1</v>
      </c>
      <c r="D5" s="20" t="s">
        <v>51</v>
      </c>
      <c r="E5" s="21" t="s">
        <v>52</v>
      </c>
    </row>
    <row r="6" spans="1:5" ht="49.5" customHeight="1">
      <c r="A6" s="22"/>
      <c r="B6" s="2" t="s">
        <v>53</v>
      </c>
      <c r="C6" s="2">
        <v>2</v>
      </c>
      <c r="D6" s="23" t="s">
        <v>54</v>
      </c>
      <c r="E6" s="24" t="s">
        <v>55</v>
      </c>
    </row>
    <row r="7" spans="1:5" ht="49.5" customHeight="1">
      <c r="A7" s="25"/>
      <c r="B7" s="1" t="s">
        <v>56</v>
      </c>
      <c r="C7" s="1">
        <v>3</v>
      </c>
      <c r="D7" s="26" t="s">
        <v>57</v>
      </c>
      <c r="E7" s="27" t="s">
        <v>58</v>
      </c>
    </row>
    <row r="8" spans="1:5" ht="49.5" customHeight="1">
      <c r="A8" s="28"/>
      <c r="B8" s="16" t="s">
        <v>59</v>
      </c>
      <c r="C8" s="16">
        <v>4</v>
      </c>
      <c r="D8" s="29" t="s">
        <v>60</v>
      </c>
      <c r="E8" s="30" t="s">
        <v>61</v>
      </c>
    </row>
    <row r="9" spans="1:5" ht="49.5" customHeight="1">
      <c r="A9" s="31"/>
      <c r="B9" s="17" t="s">
        <v>62</v>
      </c>
      <c r="C9" s="17">
        <v>5</v>
      </c>
      <c r="D9" s="32" t="s">
        <v>63</v>
      </c>
      <c r="E9" s="33" t="s">
        <v>64</v>
      </c>
    </row>
    <row r="10" spans="1:5" ht="27.75" customHeight="1">
      <c r="A10" s="60" t="s">
        <v>65</v>
      </c>
      <c r="B10" s="60"/>
      <c r="C10" s="60"/>
      <c r="D10" s="60"/>
      <c r="E10" s="60"/>
    </row>
    <row r="11" spans="1:5" ht="21.75" customHeight="1">
      <c r="A11" s="18"/>
      <c r="B11" s="18" t="s">
        <v>46</v>
      </c>
      <c r="C11" s="18" t="s">
        <v>47</v>
      </c>
      <c r="D11" s="18" t="s">
        <v>48</v>
      </c>
      <c r="E11" s="18" t="s">
        <v>49</v>
      </c>
    </row>
    <row r="12" spans="1:5" ht="49.5" customHeight="1">
      <c r="A12" s="19"/>
      <c r="B12" s="3" t="s">
        <v>50</v>
      </c>
      <c r="C12" s="3">
        <v>1</v>
      </c>
      <c r="D12" s="20" t="s">
        <v>66</v>
      </c>
      <c r="E12" s="21" t="s">
        <v>67</v>
      </c>
    </row>
    <row r="13" spans="1:5" ht="49.5" customHeight="1">
      <c r="A13" s="22"/>
      <c r="B13" s="2" t="s">
        <v>53</v>
      </c>
      <c r="C13" s="2">
        <v>2</v>
      </c>
      <c r="D13" s="23" t="s">
        <v>68</v>
      </c>
      <c r="E13" s="24" t="s">
        <v>69</v>
      </c>
    </row>
    <row r="14" spans="1:5" ht="49.5" customHeight="1">
      <c r="A14" s="25"/>
      <c r="B14" s="1" t="s">
        <v>56</v>
      </c>
      <c r="C14" s="1">
        <v>3</v>
      </c>
      <c r="D14" s="26" t="s">
        <v>70</v>
      </c>
      <c r="E14" s="27" t="s">
        <v>71</v>
      </c>
    </row>
    <row r="15" spans="1:5" ht="49.5" customHeight="1">
      <c r="A15" s="28"/>
      <c r="B15" s="16" t="s">
        <v>59</v>
      </c>
      <c r="C15" s="16">
        <v>4</v>
      </c>
      <c r="D15" s="29" t="s">
        <v>72</v>
      </c>
      <c r="E15" s="30" t="s">
        <v>73</v>
      </c>
    </row>
    <row r="16" spans="1:5" ht="49.5" customHeight="1">
      <c r="A16" s="31"/>
      <c r="B16" s="17" t="s">
        <v>62</v>
      </c>
      <c r="C16" s="17">
        <v>5</v>
      </c>
      <c r="D16" s="32" t="s">
        <v>74</v>
      </c>
      <c r="E16" s="33" t="s">
        <v>75</v>
      </c>
    </row>
    <row r="17" spans="1:5" ht="27.75" customHeight="1">
      <c r="A17" s="60" t="s">
        <v>76</v>
      </c>
      <c r="B17" s="60"/>
      <c r="C17" s="60"/>
      <c r="D17" s="60"/>
      <c r="E17" s="60"/>
    </row>
    <row r="18" spans="1:5" ht="21.75" customHeight="1">
      <c r="A18" s="18"/>
      <c r="B18" s="18" t="s">
        <v>46</v>
      </c>
      <c r="C18" s="18" t="s">
        <v>47</v>
      </c>
      <c r="D18" s="18" t="s">
        <v>48</v>
      </c>
      <c r="E18" s="18" t="s">
        <v>49</v>
      </c>
    </row>
    <row r="19" spans="1:5" ht="49.5" customHeight="1">
      <c r="A19" s="19"/>
      <c r="B19" s="3" t="s">
        <v>50</v>
      </c>
      <c r="C19" s="3">
        <v>1</v>
      </c>
      <c r="D19" s="20" t="s">
        <v>77</v>
      </c>
      <c r="E19" s="21" t="s">
        <v>78</v>
      </c>
    </row>
    <row r="20" spans="1:5" ht="49.5" customHeight="1">
      <c r="A20" s="22"/>
      <c r="B20" s="2" t="s">
        <v>53</v>
      </c>
      <c r="C20" s="2">
        <v>2</v>
      </c>
      <c r="D20" s="23" t="s">
        <v>79</v>
      </c>
      <c r="E20" s="24" t="s">
        <v>80</v>
      </c>
    </row>
    <row r="21" spans="1:5" ht="49.5" customHeight="1">
      <c r="A21" s="25"/>
      <c r="B21" s="1" t="s">
        <v>56</v>
      </c>
      <c r="C21" s="1">
        <v>3</v>
      </c>
      <c r="D21" s="26" t="s">
        <v>81</v>
      </c>
      <c r="E21" s="27" t="s">
        <v>82</v>
      </c>
    </row>
    <row r="22" spans="1:5" ht="49.5" customHeight="1">
      <c r="A22" s="28"/>
      <c r="B22" s="16" t="s">
        <v>59</v>
      </c>
      <c r="C22" s="16">
        <v>4</v>
      </c>
      <c r="D22" s="29" t="s">
        <v>83</v>
      </c>
      <c r="E22" s="30" t="s">
        <v>84</v>
      </c>
    </row>
    <row r="23" spans="1:5" ht="49.5" customHeight="1">
      <c r="A23" s="31"/>
      <c r="B23" s="17" t="s">
        <v>62</v>
      </c>
      <c r="C23" s="17">
        <v>5</v>
      </c>
      <c r="D23" s="32" t="s">
        <v>85</v>
      </c>
      <c r="E23" s="33" t="s">
        <v>86</v>
      </c>
    </row>
    <row r="24" spans="1:5" ht="27.75" customHeight="1">
      <c r="A24" s="60" t="s">
        <v>87</v>
      </c>
      <c r="B24" s="60"/>
      <c r="C24" s="60"/>
      <c r="D24" s="60"/>
      <c r="E24" s="60"/>
    </row>
    <row r="25" spans="1:5" ht="21.75" customHeight="1">
      <c r="A25" s="18"/>
      <c r="B25" s="18" t="s">
        <v>46</v>
      </c>
      <c r="C25" s="18" t="s">
        <v>47</v>
      </c>
      <c r="D25" s="18" t="s">
        <v>48</v>
      </c>
      <c r="E25" s="18" t="s">
        <v>49</v>
      </c>
    </row>
    <row r="26" spans="1:5" ht="49.5" customHeight="1">
      <c r="A26" s="19"/>
      <c r="B26" s="3" t="s">
        <v>50</v>
      </c>
      <c r="C26" s="3">
        <v>1</v>
      </c>
      <c r="D26" s="20" t="s">
        <v>88</v>
      </c>
      <c r="E26" s="21" t="s">
        <v>89</v>
      </c>
    </row>
    <row r="27" spans="1:5" ht="49.5" customHeight="1">
      <c r="A27" s="22"/>
      <c r="B27" s="2" t="s">
        <v>53</v>
      </c>
      <c r="C27" s="2">
        <v>2</v>
      </c>
      <c r="D27" s="23" t="s">
        <v>90</v>
      </c>
      <c r="E27" s="24" t="s">
        <v>91</v>
      </c>
    </row>
    <row r="28" spans="1:5" ht="49.5" customHeight="1">
      <c r="A28" s="25"/>
      <c r="B28" s="1" t="s">
        <v>56</v>
      </c>
      <c r="C28" s="1">
        <v>3</v>
      </c>
      <c r="D28" s="26" t="s">
        <v>92</v>
      </c>
      <c r="E28" s="27" t="s">
        <v>93</v>
      </c>
    </row>
    <row r="29" spans="1:5" ht="49.5" customHeight="1">
      <c r="A29" s="28"/>
      <c r="B29" s="16" t="s">
        <v>59</v>
      </c>
      <c r="C29" s="16">
        <v>4</v>
      </c>
      <c r="D29" s="29" t="s">
        <v>94</v>
      </c>
      <c r="E29" s="30" t="s">
        <v>95</v>
      </c>
    </row>
    <row r="30" spans="1:5" ht="49.5" customHeight="1">
      <c r="A30" s="31"/>
      <c r="B30" s="17" t="s">
        <v>62</v>
      </c>
      <c r="C30" s="17">
        <v>5</v>
      </c>
      <c r="D30" s="32" t="s">
        <v>96</v>
      </c>
      <c r="E30" s="33" t="s">
        <v>97</v>
      </c>
    </row>
    <row r="31" spans="1:5" ht="27.75" customHeight="1">
      <c r="A31" s="60" t="s">
        <v>98</v>
      </c>
      <c r="B31" s="60"/>
      <c r="C31" s="60"/>
      <c r="D31" s="60"/>
      <c r="E31" s="60"/>
    </row>
    <row r="32" spans="1:5" ht="21.75" customHeight="1">
      <c r="A32" s="18"/>
      <c r="B32" s="18" t="s">
        <v>46</v>
      </c>
      <c r="C32" s="18" t="s">
        <v>47</v>
      </c>
      <c r="D32" s="18" t="s">
        <v>48</v>
      </c>
      <c r="E32" s="18" t="s">
        <v>49</v>
      </c>
    </row>
    <row r="33" spans="1:5" ht="49.5" customHeight="1">
      <c r="A33" s="19"/>
      <c r="B33" s="3" t="s">
        <v>50</v>
      </c>
      <c r="C33" s="3">
        <v>1</v>
      </c>
      <c r="D33" s="20" t="s">
        <v>99</v>
      </c>
      <c r="E33" s="21" t="s">
        <v>100</v>
      </c>
    </row>
    <row r="34" spans="1:5" ht="49.5" customHeight="1">
      <c r="A34" s="22"/>
      <c r="B34" s="2" t="s">
        <v>53</v>
      </c>
      <c r="C34" s="2">
        <v>2</v>
      </c>
      <c r="D34" s="23" t="s">
        <v>101</v>
      </c>
      <c r="E34" s="24" t="s">
        <v>102</v>
      </c>
    </row>
    <row r="35" spans="1:5" ht="49.5" customHeight="1">
      <c r="A35" s="25"/>
      <c r="B35" s="1" t="s">
        <v>56</v>
      </c>
      <c r="C35" s="1">
        <v>3</v>
      </c>
      <c r="D35" s="26" t="s">
        <v>103</v>
      </c>
      <c r="E35" s="27" t="s">
        <v>104</v>
      </c>
    </row>
    <row r="36" spans="1:5" ht="49.5" customHeight="1">
      <c r="A36" s="28"/>
      <c r="B36" s="16" t="s">
        <v>59</v>
      </c>
      <c r="C36" s="16">
        <v>4</v>
      </c>
      <c r="D36" s="29" t="s">
        <v>105</v>
      </c>
      <c r="E36" s="30" t="s">
        <v>106</v>
      </c>
    </row>
    <row r="37" spans="1:5" ht="49.5" customHeight="1">
      <c r="A37" s="31"/>
      <c r="B37" s="17" t="s">
        <v>62</v>
      </c>
      <c r="C37" s="17">
        <v>5</v>
      </c>
      <c r="D37" s="32" t="s">
        <v>107</v>
      </c>
      <c r="E37" s="33" t="s">
        <v>108</v>
      </c>
    </row>
    <row r="38" spans="1:5" ht="27.75" customHeight="1">
      <c r="A38" s="60" t="s">
        <v>109</v>
      </c>
      <c r="B38" s="60"/>
      <c r="C38" s="60"/>
      <c r="D38" s="60"/>
      <c r="E38" s="60"/>
    </row>
    <row r="39" spans="1:5" ht="21.75" customHeight="1">
      <c r="A39" s="18"/>
      <c r="B39" s="18" t="s">
        <v>46</v>
      </c>
      <c r="C39" s="18" t="s">
        <v>47</v>
      </c>
      <c r="D39" s="18" t="s">
        <v>48</v>
      </c>
      <c r="E39" s="18" t="s">
        <v>49</v>
      </c>
    </row>
    <row r="40" spans="1:5" ht="49.5" customHeight="1">
      <c r="A40" s="19"/>
      <c r="B40" s="3" t="s">
        <v>50</v>
      </c>
      <c r="C40" s="3">
        <v>1</v>
      </c>
      <c r="D40" s="20" t="s">
        <v>110</v>
      </c>
      <c r="E40" s="21" t="s">
        <v>111</v>
      </c>
    </row>
    <row r="41" spans="1:5" ht="49.5" customHeight="1">
      <c r="A41" s="22"/>
      <c r="B41" s="2" t="s">
        <v>53</v>
      </c>
      <c r="C41" s="2">
        <v>2</v>
      </c>
      <c r="D41" s="23" t="s">
        <v>112</v>
      </c>
      <c r="E41" s="24" t="s">
        <v>113</v>
      </c>
    </row>
    <row r="42" spans="1:5" ht="49.5" customHeight="1">
      <c r="A42" s="25"/>
      <c r="B42" s="1" t="s">
        <v>56</v>
      </c>
      <c r="C42" s="1">
        <v>3</v>
      </c>
      <c r="D42" s="26" t="s">
        <v>114</v>
      </c>
      <c r="E42" s="27" t="s">
        <v>115</v>
      </c>
    </row>
    <row r="43" spans="1:5" ht="49.5" customHeight="1">
      <c r="A43" s="28"/>
      <c r="B43" s="16" t="s">
        <v>59</v>
      </c>
      <c r="C43" s="16">
        <v>4</v>
      </c>
      <c r="D43" s="29" t="s">
        <v>116</v>
      </c>
      <c r="E43" s="30" t="s">
        <v>117</v>
      </c>
    </row>
    <row r="44" spans="1:5" ht="49.5" customHeight="1">
      <c r="A44" s="31"/>
      <c r="B44" s="17" t="s">
        <v>62</v>
      </c>
      <c r="C44" s="17">
        <v>5</v>
      </c>
      <c r="D44" s="32" t="s">
        <v>118</v>
      </c>
      <c r="E44" s="33" t="s">
        <v>119</v>
      </c>
    </row>
    <row r="45" spans="1:5" ht="27.75" customHeight="1">
      <c r="A45" s="60" t="s">
        <v>120</v>
      </c>
      <c r="B45" s="60"/>
      <c r="C45" s="60"/>
      <c r="D45" s="60"/>
      <c r="E45" s="60"/>
    </row>
    <row r="46" spans="1:5" ht="21.75" customHeight="1">
      <c r="A46" s="18"/>
      <c r="B46" s="18" t="s">
        <v>46</v>
      </c>
      <c r="C46" s="18" t="s">
        <v>47</v>
      </c>
      <c r="D46" s="18" t="s">
        <v>48</v>
      </c>
      <c r="E46" s="18" t="s">
        <v>49</v>
      </c>
    </row>
    <row r="47" spans="1:5" ht="49.5" customHeight="1">
      <c r="A47" s="19"/>
      <c r="B47" s="3" t="s">
        <v>50</v>
      </c>
      <c r="C47" s="3">
        <v>1</v>
      </c>
      <c r="D47" s="20" t="s">
        <v>121</v>
      </c>
      <c r="E47" s="21" t="s">
        <v>122</v>
      </c>
    </row>
    <row r="48" spans="1:5" ht="49.5" customHeight="1">
      <c r="A48" s="22"/>
      <c r="B48" s="2" t="s">
        <v>53</v>
      </c>
      <c r="C48" s="2">
        <v>2</v>
      </c>
      <c r="D48" s="23" t="s">
        <v>123</v>
      </c>
      <c r="E48" s="24" t="s">
        <v>124</v>
      </c>
    </row>
    <row r="49" spans="1:5" ht="49.5" customHeight="1">
      <c r="A49" s="25"/>
      <c r="B49" s="1" t="s">
        <v>56</v>
      </c>
      <c r="C49" s="1">
        <v>3</v>
      </c>
      <c r="D49" s="26" t="s">
        <v>125</v>
      </c>
      <c r="E49" s="27" t="s">
        <v>126</v>
      </c>
    </row>
    <row r="50" spans="1:5" ht="49.5" customHeight="1">
      <c r="A50" s="28"/>
      <c r="B50" s="16" t="s">
        <v>59</v>
      </c>
      <c r="C50" s="16">
        <v>4</v>
      </c>
      <c r="D50" s="29" t="s">
        <v>127</v>
      </c>
      <c r="E50" s="30" t="s">
        <v>128</v>
      </c>
    </row>
    <row r="51" spans="1:5" ht="49.5" customHeight="1">
      <c r="A51" s="31"/>
      <c r="B51" s="17" t="s">
        <v>62</v>
      </c>
      <c r="C51" s="17">
        <v>5</v>
      </c>
      <c r="D51" s="32" t="s">
        <v>129</v>
      </c>
      <c r="E51" s="33" t="s">
        <v>130</v>
      </c>
    </row>
    <row r="52" spans="1:5" ht="27.75" customHeight="1">
      <c r="A52" s="60" t="s">
        <v>131</v>
      </c>
      <c r="B52" s="60"/>
      <c r="C52" s="60"/>
      <c r="D52" s="60"/>
      <c r="E52" s="60"/>
    </row>
    <row r="53" spans="1:5" ht="21.75" customHeight="1">
      <c r="A53" s="18"/>
      <c r="B53" s="18" t="s">
        <v>46</v>
      </c>
      <c r="C53" s="18" t="s">
        <v>47</v>
      </c>
      <c r="D53" s="18" t="s">
        <v>48</v>
      </c>
      <c r="E53" s="18" t="s">
        <v>49</v>
      </c>
    </row>
    <row r="54" spans="1:5" ht="49.5" customHeight="1">
      <c r="A54" s="19"/>
      <c r="B54" s="3" t="s">
        <v>50</v>
      </c>
      <c r="C54" s="3">
        <v>1</v>
      </c>
      <c r="D54" s="20" t="s">
        <v>132</v>
      </c>
      <c r="E54" s="21" t="s">
        <v>133</v>
      </c>
    </row>
    <row r="55" spans="1:5" ht="49.5" customHeight="1">
      <c r="A55" s="22"/>
      <c r="B55" s="2" t="s">
        <v>53</v>
      </c>
      <c r="C55" s="2">
        <v>2</v>
      </c>
      <c r="D55" s="23" t="s">
        <v>134</v>
      </c>
      <c r="E55" s="24" t="s">
        <v>135</v>
      </c>
    </row>
    <row r="56" spans="1:5" ht="49.5" customHeight="1">
      <c r="A56" s="25"/>
      <c r="B56" s="1" t="s">
        <v>56</v>
      </c>
      <c r="C56" s="1">
        <v>3</v>
      </c>
      <c r="D56" s="26" t="s">
        <v>136</v>
      </c>
      <c r="E56" s="27" t="s">
        <v>137</v>
      </c>
    </row>
    <row r="57" spans="1:5" ht="49.5" customHeight="1">
      <c r="A57" s="28"/>
      <c r="B57" s="16" t="s">
        <v>59</v>
      </c>
      <c r="C57" s="16">
        <v>4</v>
      </c>
      <c r="D57" s="29" t="s">
        <v>138</v>
      </c>
      <c r="E57" s="30" t="s">
        <v>139</v>
      </c>
    </row>
    <row r="58" spans="1:5" ht="49.5" customHeight="1">
      <c r="A58" s="31"/>
      <c r="B58" s="17" t="s">
        <v>62</v>
      </c>
      <c r="C58" s="17">
        <v>5</v>
      </c>
      <c r="D58" s="32" t="s">
        <v>140</v>
      </c>
      <c r="E58" s="33" t="s">
        <v>141</v>
      </c>
    </row>
    <row r="59" spans="1:5" ht="27.75" customHeight="1">
      <c r="A59" s="60" t="s">
        <v>142</v>
      </c>
      <c r="B59" s="60"/>
      <c r="C59" s="60"/>
      <c r="D59" s="60"/>
      <c r="E59" s="60"/>
    </row>
    <row r="60" spans="1:5" ht="21.75" customHeight="1">
      <c r="A60" s="18"/>
      <c r="B60" s="18" t="s">
        <v>46</v>
      </c>
      <c r="C60" s="18" t="s">
        <v>47</v>
      </c>
      <c r="D60" s="18" t="s">
        <v>48</v>
      </c>
      <c r="E60" s="18" t="s">
        <v>49</v>
      </c>
    </row>
    <row r="61" spans="1:5" ht="49.5" customHeight="1">
      <c r="A61" s="19"/>
      <c r="B61" s="3" t="s">
        <v>50</v>
      </c>
      <c r="C61" s="3">
        <v>1</v>
      </c>
      <c r="D61" s="20" t="s">
        <v>143</v>
      </c>
      <c r="E61" s="21" t="s">
        <v>144</v>
      </c>
    </row>
    <row r="62" spans="1:5" ht="49.5" customHeight="1">
      <c r="A62" s="22"/>
      <c r="B62" s="2" t="s">
        <v>53</v>
      </c>
      <c r="C62" s="2">
        <v>2</v>
      </c>
      <c r="D62" s="23" t="s">
        <v>145</v>
      </c>
      <c r="E62" s="24" t="s">
        <v>146</v>
      </c>
    </row>
    <row r="63" spans="1:5" ht="49.5" customHeight="1">
      <c r="A63" s="25"/>
      <c r="B63" s="1" t="s">
        <v>56</v>
      </c>
      <c r="C63" s="1">
        <v>3</v>
      </c>
      <c r="D63" s="26" t="s">
        <v>147</v>
      </c>
      <c r="E63" s="27" t="s">
        <v>148</v>
      </c>
    </row>
    <row r="64" spans="1:5" ht="49.5" customHeight="1">
      <c r="A64" s="28"/>
      <c r="B64" s="16" t="s">
        <v>59</v>
      </c>
      <c r="C64" s="16">
        <v>4</v>
      </c>
      <c r="D64" s="29" t="s">
        <v>149</v>
      </c>
      <c r="E64" s="30" t="s">
        <v>150</v>
      </c>
    </row>
    <row r="65" spans="1:5" ht="49.5" customHeight="1">
      <c r="A65" s="31"/>
      <c r="B65" s="17" t="s">
        <v>62</v>
      </c>
      <c r="C65" s="17">
        <v>5</v>
      </c>
      <c r="D65" s="32" t="s">
        <v>151</v>
      </c>
      <c r="E65" s="33" t="s">
        <v>152</v>
      </c>
    </row>
    <row r="66" spans="1:5" ht="27.75" customHeight="1">
      <c r="A66" s="60" t="s">
        <v>153</v>
      </c>
      <c r="B66" s="60"/>
      <c r="C66" s="60"/>
      <c r="D66" s="60"/>
      <c r="E66" s="60"/>
    </row>
    <row r="67" spans="1:5" ht="21.75" customHeight="1">
      <c r="A67" s="18"/>
      <c r="B67" s="18" t="s">
        <v>46</v>
      </c>
      <c r="C67" s="18" t="s">
        <v>47</v>
      </c>
      <c r="D67" s="18" t="s">
        <v>48</v>
      </c>
      <c r="E67" s="18" t="s">
        <v>49</v>
      </c>
    </row>
    <row r="68" spans="1:5" ht="49.5" customHeight="1">
      <c r="A68" s="19"/>
      <c r="B68" s="3" t="s">
        <v>50</v>
      </c>
      <c r="C68" s="3">
        <v>1</v>
      </c>
      <c r="D68" s="20" t="s">
        <v>154</v>
      </c>
      <c r="E68" s="21" t="s">
        <v>155</v>
      </c>
    </row>
    <row r="69" spans="1:5" ht="49.5" customHeight="1">
      <c r="A69" s="22"/>
      <c r="B69" s="2" t="s">
        <v>53</v>
      </c>
      <c r="C69" s="2">
        <v>2</v>
      </c>
      <c r="D69" s="23" t="s">
        <v>156</v>
      </c>
      <c r="E69" s="24" t="s">
        <v>157</v>
      </c>
    </row>
    <row r="70" spans="1:5" ht="49.5" customHeight="1">
      <c r="A70" s="25"/>
      <c r="B70" s="1" t="s">
        <v>56</v>
      </c>
      <c r="C70" s="1">
        <v>3</v>
      </c>
      <c r="D70" s="26" t="s">
        <v>158</v>
      </c>
      <c r="E70" s="27" t="s">
        <v>159</v>
      </c>
    </row>
    <row r="71" spans="1:5" ht="49.5" customHeight="1">
      <c r="A71" s="28"/>
      <c r="B71" s="16" t="s">
        <v>59</v>
      </c>
      <c r="C71" s="16">
        <v>4</v>
      </c>
      <c r="D71" s="29" t="s">
        <v>160</v>
      </c>
      <c r="E71" s="30" t="s">
        <v>161</v>
      </c>
    </row>
    <row r="72" spans="1:5" ht="49.5" customHeight="1">
      <c r="A72" s="31"/>
      <c r="B72" s="17" t="s">
        <v>62</v>
      </c>
      <c r="C72" s="17">
        <v>5</v>
      </c>
      <c r="D72" s="32" t="s">
        <v>162</v>
      </c>
      <c r="E72" s="33" t="s">
        <v>163</v>
      </c>
    </row>
    <row r="73" spans="1:5" ht="27.75" customHeight="1">
      <c r="A73" s="60" t="s">
        <v>164</v>
      </c>
      <c r="B73" s="60"/>
      <c r="C73" s="60"/>
      <c r="D73" s="60"/>
      <c r="E73" s="60"/>
    </row>
    <row r="74" spans="1:5" ht="21.75" customHeight="1">
      <c r="A74" s="18"/>
      <c r="B74" s="18" t="s">
        <v>46</v>
      </c>
      <c r="C74" s="18" t="s">
        <v>47</v>
      </c>
      <c r="D74" s="18" t="s">
        <v>48</v>
      </c>
      <c r="E74" s="18" t="s">
        <v>49</v>
      </c>
    </row>
    <row r="75" spans="1:5" ht="49.5" customHeight="1">
      <c r="A75" s="19"/>
      <c r="B75" s="3" t="s">
        <v>50</v>
      </c>
      <c r="C75" s="3">
        <v>1</v>
      </c>
      <c r="D75" s="20" t="s">
        <v>165</v>
      </c>
      <c r="E75" s="21" t="s">
        <v>166</v>
      </c>
    </row>
    <row r="76" spans="1:5" ht="49.5" customHeight="1">
      <c r="A76" s="22"/>
      <c r="B76" s="2" t="s">
        <v>53</v>
      </c>
      <c r="C76" s="2">
        <v>2</v>
      </c>
      <c r="D76" s="23" t="s">
        <v>167</v>
      </c>
      <c r="E76" s="24" t="s">
        <v>168</v>
      </c>
    </row>
    <row r="77" spans="1:5" ht="49.5" customHeight="1">
      <c r="A77" s="25"/>
      <c r="B77" s="1" t="s">
        <v>56</v>
      </c>
      <c r="C77" s="1">
        <v>3</v>
      </c>
      <c r="D77" s="26" t="s">
        <v>169</v>
      </c>
      <c r="E77" s="27" t="s">
        <v>170</v>
      </c>
    </row>
    <row r="78" spans="1:5" ht="49.5" customHeight="1">
      <c r="A78" s="28"/>
      <c r="B78" s="16" t="s">
        <v>59</v>
      </c>
      <c r="C78" s="16">
        <v>4</v>
      </c>
      <c r="D78" s="29" t="s">
        <v>171</v>
      </c>
      <c r="E78" s="30" t="s">
        <v>172</v>
      </c>
    </row>
    <row r="79" spans="1:5" ht="49.5" customHeight="1">
      <c r="A79" s="31"/>
      <c r="B79" s="17" t="s">
        <v>62</v>
      </c>
      <c r="C79" s="17">
        <v>5</v>
      </c>
      <c r="D79" s="32" t="s">
        <v>173</v>
      </c>
      <c r="E79" s="33" t="s">
        <v>174</v>
      </c>
    </row>
    <row r="80" spans="1:5" ht="27.75" customHeight="1">
      <c r="A80" s="60" t="s">
        <v>175</v>
      </c>
      <c r="B80" s="60"/>
      <c r="C80" s="60"/>
      <c r="D80" s="60"/>
      <c r="E80" s="60"/>
    </row>
    <row r="81" spans="1:5" ht="21.75" customHeight="1">
      <c r="A81" s="18"/>
      <c r="B81" s="18" t="s">
        <v>46</v>
      </c>
      <c r="C81" s="18" t="s">
        <v>47</v>
      </c>
      <c r="D81" s="18" t="s">
        <v>48</v>
      </c>
      <c r="E81" s="18" t="s">
        <v>49</v>
      </c>
    </row>
    <row r="82" spans="1:5" ht="49.5" customHeight="1">
      <c r="A82" s="19"/>
      <c r="B82" s="3" t="s">
        <v>50</v>
      </c>
      <c r="C82" s="3">
        <v>1</v>
      </c>
      <c r="D82" s="20" t="s">
        <v>176</v>
      </c>
      <c r="E82" s="21" t="s">
        <v>177</v>
      </c>
    </row>
    <row r="83" spans="1:5" ht="49.5" customHeight="1">
      <c r="A83" s="22"/>
      <c r="B83" s="2" t="s">
        <v>53</v>
      </c>
      <c r="C83" s="2">
        <v>2</v>
      </c>
      <c r="D83" s="23" t="s">
        <v>178</v>
      </c>
      <c r="E83" s="24" t="s">
        <v>179</v>
      </c>
    </row>
    <row r="84" spans="1:5" ht="49.5" customHeight="1">
      <c r="A84" s="25"/>
      <c r="B84" s="1" t="s">
        <v>56</v>
      </c>
      <c r="C84" s="1">
        <v>3</v>
      </c>
      <c r="D84" s="26" t="s">
        <v>180</v>
      </c>
      <c r="E84" s="27" t="s">
        <v>181</v>
      </c>
    </row>
    <row r="85" spans="1:5" ht="49.5" customHeight="1">
      <c r="A85" s="28"/>
      <c r="B85" s="16" t="s">
        <v>59</v>
      </c>
      <c r="C85" s="16">
        <v>4</v>
      </c>
      <c r="D85" s="29" t="s">
        <v>182</v>
      </c>
      <c r="E85" s="30" t="s">
        <v>183</v>
      </c>
    </row>
    <row r="86" spans="1:5" ht="49.5" customHeight="1">
      <c r="A86" s="31"/>
      <c r="B86" s="17" t="s">
        <v>62</v>
      </c>
      <c r="C86" s="17">
        <v>5</v>
      </c>
      <c r="D86" s="32" t="s">
        <v>184</v>
      </c>
      <c r="E86" s="33" t="s">
        <v>185</v>
      </c>
    </row>
  </sheetData>
  <mergeCells count="13">
    <mergeCell ref="A66:E66"/>
    <mergeCell ref="A73:E73"/>
    <mergeCell ref="A80:E80"/>
    <mergeCell ref="A31:E31"/>
    <mergeCell ref="A38:E38"/>
    <mergeCell ref="A45:E45"/>
    <mergeCell ref="A52:E52"/>
    <mergeCell ref="A59:E59"/>
    <mergeCell ref="A1:E1"/>
    <mergeCell ref="A3:E3"/>
    <mergeCell ref="A10:E10"/>
    <mergeCell ref="A17:E17"/>
    <mergeCell ref="A24:E24"/>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D14"/>
  <sheetViews>
    <sheetView zoomScaleNormal="100" workbookViewId="0"/>
  </sheetViews>
  <sheetFormatPr defaultColWidth="8.7109375" defaultRowHeight="14.45"/>
  <cols>
    <col min="1" max="1" width="5" customWidth="1"/>
    <col min="2" max="2" width="35" customWidth="1"/>
    <col min="3" max="3" width="10" customWidth="1"/>
    <col min="4" max="4" width="80" customWidth="1"/>
  </cols>
  <sheetData>
    <row r="1" spans="1:4" ht="39.75" customHeight="1">
      <c r="A1" s="38" t="s">
        <v>186</v>
      </c>
      <c r="B1" s="38"/>
      <c r="C1" s="38"/>
      <c r="D1" s="38"/>
    </row>
    <row r="2" spans="1:4" ht="27.75" customHeight="1">
      <c r="A2" s="4" t="s">
        <v>2</v>
      </c>
      <c r="B2" s="4" t="s">
        <v>3</v>
      </c>
      <c r="C2" s="4" t="s">
        <v>4</v>
      </c>
      <c r="D2" s="4" t="s">
        <v>187</v>
      </c>
    </row>
    <row r="3" spans="1:4" ht="54.75" customHeight="1">
      <c r="A3" s="5">
        <v>1</v>
      </c>
      <c r="B3" s="6" t="s">
        <v>8</v>
      </c>
      <c r="C3" s="34">
        <v>1.5</v>
      </c>
      <c r="D3" s="35" t="s">
        <v>188</v>
      </c>
    </row>
    <row r="4" spans="1:4" ht="54.75" customHeight="1">
      <c r="A4" s="11">
        <v>2</v>
      </c>
      <c r="B4" s="12" t="s">
        <v>9</v>
      </c>
      <c r="C4" s="36">
        <v>1.4</v>
      </c>
      <c r="D4" s="37" t="s">
        <v>189</v>
      </c>
    </row>
    <row r="5" spans="1:4" ht="54.75" customHeight="1">
      <c r="A5" s="5">
        <v>3</v>
      </c>
      <c r="B5" s="6" t="s">
        <v>10</v>
      </c>
      <c r="C5" s="34">
        <v>1.3</v>
      </c>
      <c r="D5" s="35" t="s">
        <v>190</v>
      </c>
    </row>
    <row r="6" spans="1:4" ht="54.75" customHeight="1">
      <c r="A6" s="11">
        <v>4</v>
      </c>
      <c r="B6" s="12" t="s">
        <v>11</v>
      </c>
      <c r="C6" s="36">
        <v>1</v>
      </c>
      <c r="D6" s="37" t="s">
        <v>191</v>
      </c>
    </row>
    <row r="7" spans="1:4" ht="54.75" customHeight="1">
      <c r="A7" s="5">
        <v>5</v>
      </c>
      <c r="B7" s="6" t="s">
        <v>12</v>
      </c>
      <c r="C7" s="34">
        <v>1.1000000000000001</v>
      </c>
      <c r="D7" s="35" t="s">
        <v>192</v>
      </c>
    </row>
    <row r="8" spans="1:4" ht="54.75" customHeight="1">
      <c r="A8" s="11">
        <v>6</v>
      </c>
      <c r="B8" s="12" t="s">
        <v>13</v>
      </c>
      <c r="C8" s="36">
        <v>1.4</v>
      </c>
      <c r="D8" s="37" t="s">
        <v>193</v>
      </c>
    </row>
    <row r="9" spans="1:4" ht="54.75" customHeight="1">
      <c r="A9" s="5">
        <v>7</v>
      </c>
      <c r="B9" s="6" t="s">
        <v>14</v>
      </c>
      <c r="C9" s="34">
        <v>0.8</v>
      </c>
      <c r="D9" s="35" t="s">
        <v>194</v>
      </c>
    </row>
    <row r="10" spans="1:4" ht="54.75" customHeight="1">
      <c r="A10" s="11">
        <v>8</v>
      </c>
      <c r="B10" s="12" t="s">
        <v>15</v>
      </c>
      <c r="C10" s="36">
        <v>1.1000000000000001</v>
      </c>
      <c r="D10" s="37" t="s">
        <v>195</v>
      </c>
    </row>
    <row r="11" spans="1:4" ht="54.75" customHeight="1">
      <c r="A11" s="5">
        <v>9</v>
      </c>
      <c r="B11" s="6" t="s">
        <v>16</v>
      </c>
      <c r="C11" s="34">
        <v>1.3</v>
      </c>
      <c r="D11" s="35" t="s">
        <v>196</v>
      </c>
    </row>
    <row r="12" spans="1:4" ht="54.75" customHeight="1">
      <c r="A12" s="11">
        <v>10</v>
      </c>
      <c r="B12" s="12" t="s">
        <v>17</v>
      </c>
      <c r="C12" s="36">
        <v>1.2</v>
      </c>
      <c r="D12" s="37" t="s">
        <v>197</v>
      </c>
    </row>
    <row r="13" spans="1:4" ht="54.75" customHeight="1">
      <c r="A13" s="5">
        <v>11</v>
      </c>
      <c r="B13" s="6" t="s">
        <v>18</v>
      </c>
      <c r="C13" s="34">
        <v>0.8</v>
      </c>
      <c r="D13" s="35" t="s">
        <v>198</v>
      </c>
    </row>
    <row r="14" spans="1:4" ht="54.75" customHeight="1">
      <c r="A14" s="11">
        <v>12</v>
      </c>
      <c r="B14" s="12" t="s">
        <v>19</v>
      </c>
      <c r="C14" s="36">
        <v>1.1000000000000001</v>
      </c>
      <c r="D14" s="37" t="s">
        <v>199</v>
      </c>
    </row>
  </sheetData>
  <mergeCells count="1">
    <mergeCell ref="A1:D1"/>
  </mergeCells>
  <pageMargins left="0.75" right="0.75" top="1" bottom="1" header="0.511811023622047" footer="0.511811023622047"/>
  <pageSetup fitToHeight="0"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DB0C7C118FB6489E9DBD6E6E050E92" ma:contentTypeVersion="11" ma:contentTypeDescription="Create a new document." ma:contentTypeScope="" ma:versionID="87310903e578f7c6005a1c118dcad3bf">
  <xsd:schema xmlns:xsd="http://www.w3.org/2001/XMLSchema" xmlns:xs="http://www.w3.org/2001/XMLSchema" xmlns:p="http://schemas.microsoft.com/office/2006/metadata/properties" xmlns:ns2="ab808119-7214-4ba1-b38f-b3a728e8161f" xmlns:ns3="32e8ffed-4117-4466-ae37-f176c04a3952" targetNamespace="http://schemas.microsoft.com/office/2006/metadata/properties" ma:root="true" ma:fieldsID="327462abf178bf4622cf861c5db4ced7" ns2:_="" ns3:_="">
    <xsd:import namespace="ab808119-7214-4ba1-b38f-b3a728e8161f"/>
    <xsd:import namespace="32e8ffed-4117-4466-ae37-f176c04a39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808119-7214-4ba1-b38f-b3a728e816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cfcb9cf-98c1-43c5-bc56-591c5a4f16d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e8ffed-4117-4466-ae37-f176c04a39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0a51ac9-724b-4c82-8ae1-c250115c7362}" ma:internalName="TaxCatchAll" ma:showField="CatchAllData" ma:web="32e8ffed-4117-4466-ae37-f176c04a39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808119-7214-4ba1-b38f-b3a728e8161f">
      <Terms xmlns="http://schemas.microsoft.com/office/infopath/2007/PartnerControls"/>
    </lcf76f155ced4ddcb4097134ff3c332f>
    <TaxCatchAll xmlns="32e8ffed-4117-4466-ae37-f176c04a39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DD593C-93CB-478E-9BA5-4EA2D906CFD3}"/>
</file>

<file path=customXml/itemProps2.xml><?xml version="1.0" encoding="utf-8"?>
<ds:datastoreItem xmlns:ds="http://schemas.openxmlformats.org/officeDocument/2006/customXml" ds:itemID="{3DC946D5-FFD9-4BAE-8938-FA2CBD895D1F}"/>
</file>

<file path=customXml/itemProps3.xml><?xml version="1.0" encoding="utf-8"?>
<ds:datastoreItem xmlns:ds="http://schemas.openxmlformats.org/officeDocument/2006/customXml" ds:itemID="{456B51BC-9262-4A35-B039-A1B17826CE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jjaworski@fhb.com</dc:creator>
  <cp:keywords/>
  <dc:description/>
  <cp:lastModifiedBy/>
  <cp:revision>0</cp:revision>
  <dcterms:created xsi:type="dcterms:W3CDTF">2026-04-07T15:37:06Z</dcterms:created>
  <dcterms:modified xsi:type="dcterms:W3CDTF">2026-08-05T18:03:46Z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0x0101008DDB0C7C118FB6489E9DBD6E6E050E92</vt:lpwstr>
  </property>
  <property fmtid="{D5CDD505-2E9C-101B-9397-08002B2CF9AE}" pid="3" name="MSIP_Label_60007ebb-9145-441f-beb7-bb99dc7069af_Enabled">
    <vt:lpwstr>true</vt:lpwstr>
  </property>
  <property fmtid="{D5CDD505-2E9C-101B-9397-08002B2CF9AE}" pid="4" name="MSIP_Label_60007ebb-9145-441f-beb7-bb99dc7069af_SetDate">
    <vt:lpwstr>2026-08-05T18:01:51Z</vt:lpwstr>
  </property>
  <property fmtid="{D5CDD505-2E9C-101B-9397-08002B2CF9AE}" pid="5" name="MSIP_Label_60007ebb-9145-441f-beb7-bb99dc7069af_Method">
    <vt:lpwstr>Standard</vt:lpwstr>
  </property>
  <property fmtid="{D5CDD505-2E9C-101B-9397-08002B2CF9AE}" pid="6" name="MSIP_Label_60007ebb-9145-441f-beb7-bb99dc7069af_Name">
    <vt:lpwstr>FHB - General - Internal Use</vt:lpwstr>
  </property>
  <property fmtid="{D5CDD505-2E9C-101B-9397-08002B2CF9AE}" pid="7" name="MSIP_Label_60007ebb-9145-441f-beb7-bb99dc7069af_SiteId">
    <vt:lpwstr>655b87d9-3c99-411d-b4f5-ea57117f33a7</vt:lpwstr>
  </property>
  <property fmtid="{D5CDD505-2E9C-101B-9397-08002B2CF9AE}" pid="8" name="MSIP_Label_60007ebb-9145-441f-beb7-bb99dc7069af_ActionId">
    <vt:lpwstr>71e4e5a6-3834-4592-8bba-73894e8afe8b</vt:lpwstr>
  </property>
  <property fmtid="{D5CDD505-2E9C-101B-9397-08002B2CF9AE}" pid="9" name="MSIP_Label_60007ebb-9145-441f-beb7-bb99dc7069af_ContentBits">
    <vt:lpwstr>0</vt:lpwstr>
  </property>
  <property fmtid="{D5CDD505-2E9C-101B-9397-08002B2CF9AE}" pid="10" name="MSIP_Label_60007ebb-9145-441f-beb7-bb99dc7069af_Tag">
    <vt:lpwstr>10, 3, 0, 2</vt:lpwstr>
  </property>
  <property fmtid="{D5CDD505-2E9C-101B-9397-08002B2CF9AE}" pid="11" name="MediaServiceImageTags">
    <vt:lpwstr/>
  </property>
</Properties>
</file>